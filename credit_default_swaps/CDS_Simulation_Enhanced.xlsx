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P&amp;L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'CDS Model'!H1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'CDS Model'!$A$2:$A$21</f>
            </numRef>
          </cat>
          <val>
            <numRef>
              <f>'CDS Model'!$H$2:$H$21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Profit/Loss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Year</t>
        </is>
      </c>
      <c r="C1" s="1" t="inlineStr">
        <is>
          <t>Premium Paid</t>
        </is>
      </c>
      <c r="D1" s="1" t="inlineStr">
        <is>
          <t>Cumulative Paid</t>
        </is>
      </c>
      <c r="E1" s="1" t="inlineStr">
        <is>
          <t>Credit Event?</t>
        </is>
      </c>
      <c r="F1" s="1" t="inlineStr">
        <is>
          <t>Recovery Rate</t>
        </is>
      </c>
      <c r="G1" s="1" t="inlineStr">
        <is>
          <t>Payout</t>
        </is>
      </c>
      <c r="H1" s="1" t="inlineStr">
        <is>
          <t>Net P&amp;L</t>
        </is>
      </c>
    </row>
    <row r="2">
      <c r="A2" t="inlineStr">
        <is>
          <t>Q1</t>
        </is>
      </c>
      <c r="B2" t="n">
        <v>1</v>
      </c>
      <c r="C2" t="n">
        <v>62500</v>
      </c>
      <c r="D2">
        <f>C2</f>
        <v/>
      </c>
      <c r="E2" t="inlineStr">
        <is>
          <t>No</t>
        </is>
      </c>
      <c r="G2" t="n">
        <v>0</v>
      </c>
      <c r="H2">
        <f>-D2</f>
        <v/>
      </c>
    </row>
    <row r="3">
      <c r="A3" t="inlineStr">
        <is>
          <t>Q2</t>
        </is>
      </c>
      <c r="B3" t="n">
        <v>1</v>
      </c>
      <c r="C3" t="n">
        <v>62500</v>
      </c>
      <c r="D3">
        <f>D2+C3</f>
        <v/>
      </c>
      <c r="E3" t="inlineStr">
        <is>
          <t>No</t>
        </is>
      </c>
      <c r="G3" t="n">
        <v>0</v>
      </c>
      <c r="H3">
        <f>-D3</f>
        <v/>
      </c>
    </row>
    <row r="4">
      <c r="A4" t="inlineStr">
        <is>
          <t>Q3</t>
        </is>
      </c>
      <c r="B4" t="n">
        <v>1</v>
      </c>
      <c r="C4" t="n">
        <v>62500</v>
      </c>
      <c r="D4">
        <f>D3+C4</f>
        <v/>
      </c>
      <c r="E4" t="inlineStr">
        <is>
          <t>No</t>
        </is>
      </c>
      <c r="G4" t="n">
        <v>0</v>
      </c>
      <c r="H4">
        <f>-D4</f>
        <v/>
      </c>
    </row>
    <row r="5">
      <c r="A5" t="inlineStr">
        <is>
          <t>Q4</t>
        </is>
      </c>
      <c r="B5" t="n">
        <v>1</v>
      </c>
      <c r="C5" t="n">
        <v>62500</v>
      </c>
      <c r="D5">
        <f>D4+C5</f>
        <v/>
      </c>
      <c r="E5" t="inlineStr">
        <is>
          <t>No</t>
        </is>
      </c>
      <c r="G5" t="n">
        <v>0</v>
      </c>
      <c r="H5">
        <f>-D5</f>
        <v/>
      </c>
    </row>
    <row r="6">
      <c r="A6" t="inlineStr">
        <is>
          <t>Q1</t>
        </is>
      </c>
      <c r="B6" t="n">
        <v>2</v>
      </c>
      <c r="C6" t="n">
        <v>62500</v>
      </c>
      <c r="D6">
        <f>D5+C6</f>
        <v/>
      </c>
      <c r="E6" t="inlineStr">
        <is>
          <t>No</t>
        </is>
      </c>
      <c r="G6" t="n">
        <v>0</v>
      </c>
      <c r="H6">
        <f>-D6</f>
        <v/>
      </c>
    </row>
    <row r="7">
      <c r="A7" t="inlineStr">
        <is>
          <t>Q2</t>
        </is>
      </c>
      <c r="B7" t="n">
        <v>2</v>
      </c>
      <c r="C7" t="n">
        <v>62500</v>
      </c>
      <c r="D7">
        <f>D6+C7</f>
        <v/>
      </c>
      <c r="E7" t="inlineStr">
        <is>
          <t>No</t>
        </is>
      </c>
      <c r="G7" t="n">
        <v>0</v>
      </c>
      <c r="H7">
        <f>-D7</f>
        <v/>
      </c>
    </row>
    <row r="8">
      <c r="A8" t="inlineStr">
        <is>
          <t>Q3</t>
        </is>
      </c>
      <c r="B8" t="n">
        <v>2</v>
      </c>
      <c r="C8" t="n">
        <v>62500</v>
      </c>
      <c r="D8">
        <f>D7+C8</f>
        <v/>
      </c>
      <c r="E8" t="inlineStr">
        <is>
          <t>No</t>
        </is>
      </c>
      <c r="G8" t="n">
        <v>0</v>
      </c>
      <c r="H8">
        <f>-D8</f>
        <v/>
      </c>
    </row>
    <row r="9">
      <c r="A9" t="inlineStr">
        <is>
          <t>Q4</t>
        </is>
      </c>
      <c r="B9" t="n">
        <v>2</v>
      </c>
      <c r="C9" t="n">
        <v>62500</v>
      </c>
      <c r="D9">
        <f>D8+C9</f>
        <v/>
      </c>
      <c r="E9" t="inlineStr">
        <is>
          <t>No</t>
        </is>
      </c>
      <c r="G9" t="n">
        <v>0</v>
      </c>
      <c r="H9">
        <f>-D9</f>
        <v/>
      </c>
    </row>
    <row r="10">
      <c r="A10" t="inlineStr">
        <is>
          <t>Q1</t>
        </is>
      </c>
      <c r="B10" t="n">
        <v>3</v>
      </c>
      <c r="C10" t="n">
        <v>62500</v>
      </c>
      <c r="D10">
        <f>D9+C10</f>
        <v/>
      </c>
      <c r="E10" t="inlineStr">
        <is>
          <t>No</t>
        </is>
      </c>
      <c r="G10" t="n">
        <v>0</v>
      </c>
      <c r="H10">
        <f>-D10</f>
        <v/>
      </c>
    </row>
    <row r="11">
      <c r="A11" t="inlineStr">
        <is>
          <t>Q2</t>
        </is>
      </c>
      <c r="B11" t="n">
        <v>3</v>
      </c>
      <c r="C11" t="n">
        <v>62500</v>
      </c>
      <c r="D11">
        <f>D10+C11</f>
        <v/>
      </c>
      <c r="E11" t="inlineStr">
        <is>
          <t>No</t>
        </is>
      </c>
      <c r="G11" t="n">
        <v>0</v>
      </c>
      <c r="H11">
        <f>-D11</f>
        <v/>
      </c>
    </row>
    <row r="12">
      <c r="A12" t="inlineStr">
        <is>
          <t>Q3</t>
        </is>
      </c>
      <c r="B12" t="n">
        <v>3</v>
      </c>
      <c r="C12" t="n">
        <v>62500</v>
      </c>
      <c r="D12">
        <f>D11+C12</f>
        <v/>
      </c>
      <c r="E12" t="inlineStr">
        <is>
          <t>Yes</t>
        </is>
      </c>
      <c r="F12" t="inlineStr">
        <is>
          <t>30%</t>
        </is>
      </c>
      <c r="G12" t="n">
        <v>7000000</v>
      </c>
      <c r="H12">
        <f>G12-D12</f>
        <v/>
      </c>
    </row>
    <row r="13">
      <c r="A13" t="inlineStr">
        <is>
          <t>Q4</t>
        </is>
      </c>
      <c r="B13" t="n">
        <v>3</v>
      </c>
      <c r="C13" t="n">
        <v>0</v>
      </c>
      <c r="D13">
        <f>D12+C13</f>
        <v/>
      </c>
      <c r="E13" t="inlineStr">
        <is>
          <t>-</t>
        </is>
      </c>
      <c r="F13" t="inlineStr">
        <is>
          <t>-</t>
        </is>
      </c>
      <c r="G13" t="inlineStr"/>
      <c r="H13">
        <f>H12</f>
        <v/>
      </c>
    </row>
    <row r="14">
      <c r="A14" t="inlineStr">
        <is>
          <t>Q1</t>
        </is>
      </c>
      <c r="B14" t="n">
        <v>4</v>
      </c>
      <c r="C14" t="n">
        <v>0</v>
      </c>
      <c r="D14">
        <f>D13+C14</f>
        <v/>
      </c>
      <c r="E14" t="inlineStr">
        <is>
          <t>-</t>
        </is>
      </c>
      <c r="F14" t="inlineStr">
        <is>
          <t>-</t>
        </is>
      </c>
      <c r="G14" t="inlineStr"/>
      <c r="H14">
        <f>H13</f>
        <v/>
      </c>
    </row>
    <row r="15">
      <c r="A15" t="inlineStr">
        <is>
          <t>Q2</t>
        </is>
      </c>
      <c r="B15" t="n">
        <v>4</v>
      </c>
      <c r="C15" t="n">
        <v>0</v>
      </c>
      <c r="D15">
        <f>D14+C15</f>
        <v/>
      </c>
      <c r="E15" t="inlineStr">
        <is>
          <t>-</t>
        </is>
      </c>
      <c r="F15" t="inlineStr">
        <is>
          <t>-</t>
        </is>
      </c>
      <c r="G15" t="inlineStr"/>
      <c r="H15">
        <f>H14</f>
        <v/>
      </c>
    </row>
    <row r="16">
      <c r="A16" t="inlineStr">
        <is>
          <t>Q3</t>
        </is>
      </c>
      <c r="B16" t="n">
        <v>4</v>
      </c>
      <c r="C16" t="n">
        <v>0</v>
      </c>
      <c r="D16">
        <f>D15+C16</f>
        <v/>
      </c>
      <c r="E16" t="inlineStr">
        <is>
          <t>-</t>
        </is>
      </c>
      <c r="F16" t="inlineStr">
        <is>
          <t>-</t>
        </is>
      </c>
      <c r="G16" t="inlineStr"/>
      <c r="H16">
        <f>H15</f>
        <v/>
      </c>
    </row>
    <row r="17">
      <c r="A17" t="inlineStr">
        <is>
          <t>Q4</t>
        </is>
      </c>
      <c r="B17" t="n">
        <v>4</v>
      </c>
      <c r="C17" t="n">
        <v>0</v>
      </c>
      <c r="D17">
        <f>D16+C17</f>
        <v/>
      </c>
      <c r="E17" t="inlineStr">
        <is>
          <t>-</t>
        </is>
      </c>
      <c r="F17" t="inlineStr">
        <is>
          <t>-</t>
        </is>
      </c>
      <c r="G17" t="inlineStr"/>
      <c r="H17">
        <f>H16</f>
        <v/>
      </c>
    </row>
    <row r="18">
      <c r="A18" t="inlineStr">
        <is>
          <t>Q1</t>
        </is>
      </c>
      <c r="B18" t="n">
        <v>5</v>
      </c>
      <c r="C18" t="n">
        <v>0</v>
      </c>
      <c r="D18">
        <f>D17+C18</f>
        <v/>
      </c>
      <c r="E18" t="inlineStr">
        <is>
          <t>-</t>
        </is>
      </c>
      <c r="F18" t="inlineStr">
        <is>
          <t>-</t>
        </is>
      </c>
      <c r="G18" t="inlineStr"/>
      <c r="H18">
        <f>H17</f>
        <v/>
      </c>
    </row>
    <row r="19">
      <c r="A19" t="inlineStr">
        <is>
          <t>Q2</t>
        </is>
      </c>
      <c r="B19" t="n">
        <v>5</v>
      </c>
      <c r="C19" t="n">
        <v>0</v>
      </c>
      <c r="D19">
        <f>D18+C19</f>
        <v/>
      </c>
      <c r="E19" t="inlineStr">
        <is>
          <t>-</t>
        </is>
      </c>
      <c r="F19" t="inlineStr">
        <is>
          <t>-</t>
        </is>
      </c>
      <c r="G19" t="inlineStr"/>
      <c r="H19">
        <f>H18</f>
        <v/>
      </c>
    </row>
    <row r="20">
      <c r="A20" t="inlineStr">
        <is>
          <t>Q3</t>
        </is>
      </c>
      <c r="B20" t="n">
        <v>5</v>
      </c>
      <c r="C20" t="n">
        <v>0</v>
      </c>
      <c r="D20">
        <f>D19+C20</f>
        <v/>
      </c>
      <c r="E20" t="inlineStr">
        <is>
          <t>-</t>
        </is>
      </c>
      <c r="F20" t="inlineStr">
        <is>
          <t>-</t>
        </is>
      </c>
      <c r="G20" t="inlineStr"/>
      <c r="H20">
        <f>H19</f>
        <v/>
      </c>
    </row>
    <row r="21">
      <c r="A21" t="inlineStr">
        <is>
          <t>Q4</t>
        </is>
      </c>
      <c r="B21" t="n">
        <v>5</v>
      </c>
      <c r="C21" t="n">
        <v>0</v>
      </c>
      <c r="D21">
        <f>D20+C21</f>
        <v/>
      </c>
      <c r="E21" t="inlineStr">
        <is>
          <t>-</t>
        </is>
      </c>
      <c r="F21" t="inlineStr">
        <is>
          <t>-</t>
        </is>
      </c>
      <c r="G21" t="inlineStr"/>
      <c r="H21">
        <f>H20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2025-06-15T14:01:41Z</dcterms:created>
  <dcterms:modified xmlns:dcterms="http://purl.org/dc/terms/" xmlns:xsi="http://www.w3.org/2001/XMLSchema-instance" xsi:type="dcterms:W3CDTF">2025-06-15T14:01:41Z</dcterms:modified>
</cp:coreProperties>
</file>